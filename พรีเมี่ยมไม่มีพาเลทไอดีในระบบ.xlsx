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ustamgood_wms\"/>
    </mc:Choice>
  </mc:AlternateContent>
  <xr:revisionPtr revIDLastSave="0" documentId="13_ncr:1_{B1E8AB4D-623B-45E9-B268-A857896D826A}" xr6:coauthVersionLast="47" xr6:coauthVersionMax="47" xr10:uidLastSave="{00000000-0000-0000-0000-000000000000}"/>
  <bookViews>
    <workbookView xWindow="-120" yWindow="-120" windowWidth="29040" windowHeight="17520" xr2:uid="{2E24EA94-1916-42BA-8C1F-3965D4D05124}"/>
  </bookViews>
  <sheets>
    <sheet name="ยกสต็อกบ้านเก็บ MCF 5.1.2026" sheetId="1" r:id="rId1"/>
  </sheets>
  <externalReferences>
    <externalReference r:id="rId2"/>
  </externalReferences>
  <definedNames>
    <definedName name="_xlnm._FilterDatabase" localSheetId="0" hidden="1">'ยกสต็อกบ้านเก็บ MCF 5.1.2026'!$A$1:$AC$38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1" l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<sst xmlns="http://schemas.openxmlformats.org/spreadsheetml/2006/main" count="553" uniqueCount="127">
  <si>
    <t>Location_ID</t>
  </si>
  <si>
    <t>Zone</t>
  </si>
  <si>
    <t>Row</t>
  </si>
  <si>
    <t>Level</t>
  </si>
  <si>
    <t>Loc</t>
  </si>
  <si>
    <t>SKU Pick Face</t>
  </si>
  <si>
    <t>Max_Weight</t>
  </si>
  <si>
    <t>Max_Pallet</t>
  </si>
  <si>
    <t>Max_High</t>
  </si>
  <si>
    <t>Status</t>
  </si>
  <si>
    <t>Pallet_ID_Check</t>
  </si>
  <si>
    <t>Pallet_ID</t>
  </si>
  <si>
    <t>Last_Updated_Check</t>
  </si>
  <si>
    <t>Last_Updated_Check_2</t>
  </si>
  <si>
    <t>Last_Updated</t>
  </si>
  <si>
    <t>SKU</t>
  </si>
  <si>
    <t>Product_Name</t>
  </si>
  <si>
    <t>แพ็ค</t>
  </si>
  <si>
    <t>ชิ้น</t>
  </si>
  <si>
    <t>น้ำหนัก</t>
  </si>
  <si>
    <t>Lot</t>
  </si>
  <si>
    <t>Received_Date</t>
  </si>
  <si>
    <t>Expiration_Date</t>
  </si>
  <si>
    <t>Barcode</t>
  </si>
  <si>
    <t>Name_edit</t>
  </si>
  <si>
    <t>สีพาเลท</t>
  </si>
  <si>
    <t>หมายเหตุ</t>
  </si>
  <si>
    <t>Zone Premium MCF</t>
  </si>
  <si>
    <t>เก็บสินค้า</t>
  </si>
  <si>
    <t>16/12/2025, 16:22:45</t>
  </si>
  <si>
    <t>ธันวา ลาภานิกรณ์</t>
  </si>
  <si>
    <t>MCF-AB02</t>
  </si>
  <si>
    <t>ATG2500017272</t>
  </si>
  <si>
    <t>MCF-AB02-10</t>
  </si>
  <si>
    <t>PRE-BAG|CAV|CM|R</t>
  </si>
  <si>
    <t>กระเป๋าผ้า Christmas 24 สะพายสีแดง</t>
  </si>
  <si>
    <t>ATG2500017271</t>
  </si>
  <si>
    <t>MCF-AB02-11</t>
  </si>
  <si>
    <t>ATG2500017270</t>
  </si>
  <si>
    <t>MCF-AB02-12</t>
  </si>
  <si>
    <t>ATG2500017269</t>
  </si>
  <si>
    <t>MCF-AB02-13</t>
  </si>
  <si>
    <t>ATG2500017268</t>
  </si>
  <si>
    <t>MCF-AB02-14</t>
  </si>
  <si>
    <t>ATG2500017266</t>
  </si>
  <si>
    <t>MCF-AB02-16</t>
  </si>
  <si>
    <t>ATG2500017265</t>
  </si>
  <si>
    <t>MCF-AB02-17</t>
  </si>
  <si>
    <t>MCF-AB04</t>
  </si>
  <si>
    <t>18/9/2025, 8:50:16</t>
  </si>
  <si>
    <t>PF-Premium</t>
  </si>
  <si>
    <t>ปกติ</t>
  </si>
  <si>
    <t>ATG2500015289</t>
  </si>
  <si>
    <t>PRE-TSH|PX|NB-3XL|B</t>
  </si>
  <si>
    <t>เสื้อยืด Buzz Netura Cat - Protein X | สีกรมท่า (3XL) | สกรีนหลัง</t>
  </si>
  <si>
    <t>ATG2500015288</t>
  </si>
  <si>
    <t>PRE-TSH|PX|NB-2XL|B</t>
  </si>
  <si>
    <t>เสื้อยืด Buzz Netura Cat - Protein X | สีกรมท่า (2XL) | สกรีนหลัง</t>
  </si>
  <si>
    <t>ATG2500015287</t>
  </si>
  <si>
    <t>PRE-TSH|PX|NB-XL|B</t>
  </si>
  <si>
    <t>เสื้อยืด Buzz Netura Cat - Protein X | สีกรมท่า (XL) | สกรีนหลัง</t>
  </si>
  <si>
    <t>ATG2500015286</t>
  </si>
  <si>
    <t>PRE-TSH|PX|NB-L|B</t>
  </si>
  <si>
    <t>เสื้อยืด Buzz Netura Cat - Protein X | สีกรมท่า (L) | สกรีนหลัง</t>
  </si>
  <si>
    <t>ATG2500015285</t>
  </si>
  <si>
    <t>PRE-TSH|PX|NB-M|B</t>
  </si>
  <si>
    <t>เสื้อยืด Buzz Netura Cat - Protein X | สีกรมท่า (M) สกรีนหลัง</t>
  </si>
  <si>
    <t>ATG2500015284</t>
  </si>
  <si>
    <t>PRE-TSH|PX|NB-S|B</t>
  </si>
  <si>
    <t>เสื้อยืด Buzz Netura Cat - Protein X| สีกรมท่า (S) สกรีนหลัง</t>
  </si>
  <si>
    <t>ATG2500015283</t>
  </si>
  <si>
    <t>PRE-TSH|PX|NB-3XL</t>
  </si>
  <si>
    <t>เสื้อยืด Buzz Netura Cat - Protein X | สีกรมท่า (3XL)</t>
  </si>
  <si>
    <t>ATG2500015282</t>
  </si>
  <si>
    <t>PRE-TSH|PX|NB-2XL</t>
  </si>
  <si>
    <t>เสื้อยืด Buzz Netura Cat - Protein X | สีกรมท่า (2XL)</t>
  </si>
  <si>
    <t>ATG2500015281</t>
  </si>
  <si>
    <t>PRE-TSH|PX|NB-XL</t>
  </si>
  <si>
    <t>เสื้อยืด Buzz Netura Cat - Protein X | สีกรมท่า (XL)</t>
  </si>
  <si>
    <t>ATG2500015280</t>
  </si>
  <si>
    <t>PRE-TSH|PX|NB-L</t>
  </si>
  <si>
    <t>เสื้อยืด Buzz Netura Cat - Protein X | สีกรมท่า (L)</t>
  </si>
  <si>
    <t>ATG2500015279</t>
  </si>
  <si>
    <t>PRE-TSH|PX|NB-M</t>
  </si>
  <si>
    <t>เสื้อยืด Buzz Netura Cat - Protein X | สีกรมท่า (M)</t>
  </si>
  <si>
    <t>ATG2500015278</t>
  </si>
  <si>
    <t>PRE-TSH|PX|NB-S</t>
  </si>
  <si>
    <t>เสื้อยืด Buzz Netura Cat - Protein X | สีกรมท่า (S)</t>
  </si>
  <si>
    <t>MCF-AC01</t>
  </si>
  <si>
    <t>ATG2500017396</t>
  </si>
  <si>
    <t>MCF-AC01-01</t>
  </si>
  <si>
    <t>MKT-VIN|ALL</t>
  </si>
  <si>
    <t>ป้ายไวนิล W200 x H 100 cm สินค้าทั้งหมด</t>
  </si>
  <si>
    <t>ATG2500017395</t>
  </si>
  <si>
    <t>MCF-AC01-02</t>
  </si>
  <si>
    <t>ATG2500017394</t>
  </si>
  <si>
    <t>MCF-AC01-03</t>
  </si>
  <si>
    <t>ATG2500017393</t>
  </si>
  <si>
    <t>MCF-AC01-04</t>
  </si>
  <si>
    <t>ATG2500017392</t>
  </si>
  <si>
    <t>MCF-AC01-05</t>
  </si>
  <si>
    <t>ATG2500017391</t>
  </si>
  <si>
    <t>MCF-AC01-06</t>
  </si>
  <si>
    <t>ATG2500017390</t>
  </si>
  <si>
    <t>MCF-AC01-07</t>
  </si>
  <si>
    <t>ATG2500017389</t>
  </si>
  <si>
    <t>MCF-AC01-08</t>
  </si>
  <si>
    <t>ATG2500017388</t>
  </si>
  <si>
    <t>MCF-AC01-09</t>
  </si>
  <si>
    <t>ATG2500017387</t>
  </si>
  <si>
    <t>MCF-AC01-10</t>
  </si>
  <si>
    <t>ATG2500017386</t>
  </si>
  <si>
    <t>MCF-AC01-11</t>
  </si>
  <si>
    <t>ATG2500017385</t>
  </si>
  <si>
    <t>MCF-AC01-12</t>
  </si>
  <si>
    <t>ATG2500017384</t>
  </si>
  <si>
    <t>MCF-AC01-13</t>
  </si>
  <si>
    <t>ATG2500017383</t>
  </si>
  <si>
    <t>MCF-AC01-14</t>
  </si>
  <si>
    <t>ATG2500017382</t>
  </si>
  <si>
    <t>MCF-AC01-15</t>
  </si>
  <si>
    <t>ATG2500017381</t>
  </si>
  <si>
    <t>MCF-AC01-16</t>
  </si>
  <si>
    <t>ATG2500017380</t>
  </si>
  <si>
    <t>MCF-AC01-17</t>
  </si>
  <si>
    <t>ATG2500017379</t>
  </si>
  <si>
    <t>MCF-AC01-18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</si>
</sst>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3626;&#3636;&#3609;&#3588;&#3657;&#3634;&#3652;&#3617;&#3656;&#3617;&#3637;&#3614;&#3634;&#3648;&#3621;&#3607;&#3652;&#3629;&#3604;&#3637;.xlsx" TargetMode="External"/><Relationship Id="rId1" Type="http://schemas.openxmlformats.org/officeDocument/2006/relationships/externalLinkPath" Target="/Users/User/Downloads/&#3626;&#3636;&#3609;&#3588;&#3657;&#3634;&#3652;&#3617;&#3656;&#3617;&#3637;&#3614;&#3634;&#3648;&#3621;&#3607;&#3652;&#3629;&#3604;&#363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รหัสสินค้า</v>
          </cell>
        </row>
        <row r="2">
          <cell r="E2" t="str">
            <v>PRE-BAG|CAV|CM|R</v>
          </cell>
        </row>
        <row r="3">
          <cell r="E3" t="str">
            <v>MKT-VIN|ALL</v>
          </cell>
        </row>
        <row r="4">
          <cell r="E4" t="str">
            <v>PRE-TSH|PX|NB-2XL</v>
          </cell>
        </row>
        <row r="5">
          <cell r="E5" t="str">
            <v>PRE-TSH|PX|NB-2XL|B</v>
          </cell>
        </row>
        <row r="6">
          <cell r="E6" t="str">
            <v>PRE-TSH|PX|NB-3XL</v>
          </cell>
        </row>
        <row r="7">
          <cell r="E7" t="str">
            <v>PRE-TSH|PX|NB-3XL|B</v>
          </cell>
        </row>
        <row r="8">
          <cell r="E8" t="str">
            <v>PRE-TSH|PX|NB-L</v>
          </cell>
        </row>
        <row r="9">
          <cell r="E9" t="str">
            <v>PRE-TSH|PX|NB-L|B</v>
          </cell>
        </row>
        <row r="10">
          <cell r="E10" t="str">
            <v>PRE-TSH|PX|NB-M</v>
          </cell>
        </row>
        <row r="11">
          <cell r="E11" t="str">
            <v>PRE-TSH|PX|NB-M|B</v>
          </cell>
        </row>
        <row r="12">
          <cell r="E12" t="str">
            <v>PRE-TSH|PX|NB-S</v>
          </cell>
        </row>
        <row r="13">
          <cell r="E13" t="str">
            <v>PRE-TSH|PX|NB-S|B</v>
          </cell>
        </row>
        <row r="14">
          <cell r="E14" t="str">
            <v>PRE-TSH|PX|NB-XL</v>
          </cell>
        </row>
        <row r="15">
          <cell r="E15" t="str">
            <v>PRE-TSH|PX|NB-XL|B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DCB9-B93E-4D68-8D81-A8CF0FD37901}">
  <dimension ref="A1:AB38"/>
  <sheetViews>
    <sheetView tabSelected="1" topLeftCell="B1" workbookViewId="0">
      <selection activeCell="N11" sqref="N11"/>
    </sheetView>
  </sheetViews>
  <sheetFormatPr defaultRowHeight="16.5" x14ac:dyDescent="0.3"/>
  <cols>
    <col min="11" max="11" width="15.875" bestFit="1" customWidth="1"/>
    <col min="14" max="14" width="19.75" bestFit="1" customWidth="1"/>
    <col min="16" max="16" width="13.625" customWidth="1"/>
    <col min="17" max="17" width="14.75" customWidth="1"/>
    <col min="18" max="18" width="50.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 t="s">
        <v>31</v>
      </c>
      <c r="B2" t="s">
        <v>27</v>
      </c>
      <c r="C2" t="s">
        <v>27</v>
      </c>
      <c r="D2" t="s">
        <v>27</v>
      </c>
      <c r="E2" t="s">
        <v>27</v>
      </c>
      <c r="G2">
        <v>600</v>
      </c>
      <c r="H2">
        <v>1</v>
      </c>
      <c r="I2">
        <v>1700</v>
      </c>
      <c r="J2" t="s">
        <v>28</v>
      </c>
      <c r="K2" t="s">
        <v>32</v>
      </c>
      <c r="L2" t="s">
        <v>32</v>
      </c>
      <c r="M2" t="s">
        <v>29</v>
      </c>
      <c r="N2" t="s">
        <v>33</v>
      </c>
      <c r="O2" t="s">
        <v>29</v>
      </c>
      <c r="P2" t="s">
        <v>34</v>
      </c>
      <c r="Q2" t="str">
        <f>VLOOKUP(P:P,[1]Sheet1!$E:$E,1,0)</f>
        <v>PRE-BAG|CAV|CM|R</v>
      </c>
      <c r="R2" t="s">
        <v>35</v>
      </c>
      <c r="S2">
        <v>1</v>
      </c>
      <c r="T2">
        <v>20</v>
      </c>
      <c r="U2">
        <v>0</v>
      </c>
      <c r="W2" s="1">
        <v>45993</v>
      </c>
      <c r="X2" s="1">
        <v>46358</v>
      </c>
      <c r="Z2" t="s">
        <v>30</v>
      </c>
    </row>
    <row r="3" spans="1:28" x14ac:dyDescent="0.3">
      <c r="A3" t="s">
        <v>31</v>
      </c>
      <c r="B3" t="s">
        <v>27</v>
      </c>
      <c r="C3" t="s">
        <v>27</v>
      </c>
      <c r="D3" t="s">
        <v>27</v>
      </c>
      <c r="E3" t="s">
        <v>27</v>
      </c>
      <c r="G3">
        <v>600</v>
      </c>
      <c r="H3">
        <v>1</v>
      </c>
      <c r="I3">
        <v>1700</v>
      </c>
      <c r="J3" t="s">
        <v>28</v>
      </c>
      <c r="K3" t="s">
        <v>36</v>
      </c>
      <c r="L3" t="s">
        <v>36</v>
      </c>
      <c r="M3" t="s">
        <v>29</v>
      </c>
      <c r="N3" t="s">
        <v>37</v>
      </c>
      <c r="O3" t="s">
        <v>29</v>
      </c>
      <c r="P3" t="s">
        <v>34</v>
      </c>
      <c r="Q3" t="str">
        <f>VLOOKUP(P:P,[1]Sheet1!$E:$E,1,0)</f>
        <v>PRE-BAG|CAV|CM|R</v>
      </c>
      <c r="R3" t="s">
        <v>35</v>
      </c>
      <c r="S3">
        <v>1</v>
      </c>
      <c r="T3">
        <v>20</v>
      </c>
      <c r="U3">
        <v>0</v>
      </c>
      <c r="W3" s="1">
        <v>45993</v>
      </c>
      <c r="X3" s="1">
        <v>46358</v>
      </c>
      <c r="Z3" t="s">
        <v>30</v>
      </c>
    </row>
    <row r="4" spans="1:28" x14ac:dyDescent="0.3">
      <c r="A4" t="s">
        <v>31</v>
      </c>
      <c r="B4" t="s">
        <v>27</v>
      </c>
      <c r="C4" t="s">
        <v>27</v>
      </c>
      <c r="D4" t="s">
        <v>27</v>
      </c>
      <c r="E4" t="s">
        <v>27</v>
      </c>
      <c r="G4">
        <v>600</v>
      </c>
      <c r="H4">
        <v>1</v>
      </c>
      <c r="I4">
        <v>1700</v>
      </c>
      <c r="J4" t="s">
        <v>28</v>
      </c>
      <c r="K4" t="s">
        <v>38</v>
      </c>
      <c r="L4" t="s">
        <v>38</v>
      </c>
      <c r="M4" t="s">
        <v>29</v>
      </c>
      <c r="N4" t="s">
        <v>39</v>
      </c>
      <c r="O4" t="s">
        <v>29</v>
      </c>
      <c r="P4" t="s">
        <v>34</v>
      </c>
      <c r="Q4" t="str">
        <f>VLOOKUP(P:P,[1]Sheet1!$E:$E,1,0)</f>
        <v>PRE-BAG|CAV|CM|R</v>
      </c>
      <c r="R4" t="s">
        <v>35</v>
      </c>
      <c r="S4">
        <v>1</v>
      </c>
      <c r="T4">
        <v>20</v>
      </c>
      <c r="U4">
        <v>0</v>
      </c>
      <c r="W4" s="1">
        <v>45993</v>
      </c>
      <c r="X4" s="1">
        <v>46358</v>
      </c>
      <c r="Z4" t="s">
        <v>30</v>
      </c>
    </row>
    <row r="5" spans="1:28" x14ac:dyDescent="0.3">
      <c r="A5" t="s">
        <v>31</v>
      </c>
      <c r="B5" t="s">
        <v>27</v>
      </c>
      <c r="C5" t="s">
        <v>27</v>
      </c>
      <c r="D5" t="s">
        <v>27</v>
      </c>
      <c r="E5" t="s">
        <v>27</v>
      </c>
      <c r="G5">
        <v>600</v>
      </c>
      <c r="H5">
        <v>1</v>
      </c>
      <c r="I5">
        <v>1700</v>
      </c>
      <c r="J5" t="s">
        <v>28</v>
      </c>
      <c r="K5" t="s">
        <v>40</v>
      </c>
      <c r="L5" t="s">
        <v>40</v>
      </c>
      <c r="M5" t="s">
        <v>29</v>
      </c>
      <c r="N5" t="s">
        <v>41</v>
      </c>
      <c r="O5" t="s">
        <v>29</v>
      </c>
      <c r="P5" t="s">
        <v>34</v>
      </c>
      <c r="Q5" t="str">
        <f>VLOOKUP(P:P,[1]Sheet1!$E:$E,1,0)</f>
        <v>PRE-BAG|CAV|CM|R</v>
      </c>
      <c r="R5" t="s">
        <v>35</v>
      </c>
      <c r="S5">
        <v>1</v>
      </c>
      <c r="T5">
        <v>20</v>
      </c>
      <c r="U5">
        <v>0</v>
      </c>
      <c r="W5" s="1">
        <v>45993</v>
      </c>
      <c r="X5" s="1">
        <v>46358</v>
      </c>
      <c r="Z5" t="s">
        <v>30</v>
      </c>
    </row>
    <row r="6" spans="1:28" x14ac:dyDescent="0.3">
      <c r="A6" t="s">
        <v>31</v>
      </c>
      <c r="B6" t="s">
        <v>27</v>
      </c>
      <c r="C6" t="s">
        <v>27</v>
      </c>
      <c r="D6" t="s">
        <v>27</v>
      </c>
      <c r="E6" t="s">
        <v>27</v>
      </c>
      <c r="G6">
        <v>600</v>
      </c>
      <c r="H6">
        <v>1</v>
      </c>
      <c r="I6">
        <v>1700</v>
      </c>
      <c r="J6" t="s">
        <v>28</v>
      </c>
      <c r="K6" t="s">
        <v>42</v>
      </c>
      <c r="L6" t="s">
        <v>42</v>
      </c>
      <c r="M6" t="s">
        <v>29</v>
      </c>
      <c r="N6" t="s">
        <v>43</v>
      </c>
      <c r="O6" t="s">
        <v>29</v>
      </c>
      <c r="P6" t="s">
        <v>34</v>
      </c>
      <c r="Q6" t="str">
        <f>VLOOKUP(P:P,[1]Sheet1!$E:$E,1,0)</f>
        <v>PRE-BAG|CAV|CM|R</v>
      </c>
      <c r="R6" t="s">
        <v>35</v>
      </c>
      <c r="S6">
        <v>1</v>
      </c>
      <c r="T6">
        <v>20</v>
      </c>
      <c r="U6">
        <v>0</v>
      </c>
      <c r="W6" s="1">
        <v>45993</v>
      </c>
      <c r="X6" s="1">
        <v>46358</v>
      </c>
      <c r="Z6" t="s">
        <v>30</v>
      </c>
    </row>
    <row r="7" spans="1:28" x14ac:dyDescent="0.3">
      <c r="A7" t="s">
        <v>31</v>
      </c>
      <c r="B7" t="s">
        <v>27</v>
      </c>
      <c r="C7" t="s">
        <v>27</v>
      </c>
      <c r="D7" t="s">
        <v>27</v>
      </c>
      <c r="E7" t="s">
        <v>27</v>
      </c>
      <c r="G7">
        <v>600</v>
      </c>
      <c r="H7">
        <v>1</v>
      </c>
      <c r="I7">
        <v>1700</v>
      </c>
      <c r="J7" t="s">
        <v>28</v>
      </c>
      <c r="K7" t="s">
        <v>44</v>
      </c>
      <c r="L7" t="s">
        <v>44</v>
      </c>
      <c r="M7" t="s">
        <v>29</v>
      </c>
      <c r="N7" t="s">
        <v>45</v>
      </c>
      <c r="O7" t="s">
        <v>29</v>
      </c>
      <c r="P7" t="s">
        <v>34</v>
      </c>
      <c r="Q7" t="str">
        <f>VLOOKUP(P:P,[1]Sheet1!$E:$E,1,0)</f>
        <v>PRE-BAG|CAV|CM|R</v>
      </c>
      <c r="R7" t="s">
        <v>35</v>
      </c>
      <c r="S7">
        <v>1</v>
      </c>
      <c r="T7">
        <v>20</v>
      </c>
      <c r="U7">
        <v>0</v>
      </c>
      <c r="W7" s="1">
        <v>45993</v>
      </c>
      <c r="X7" s="1">
        <v>46358</v>
      </c>
      <c r="Z7" t="s">
        <v>30</v>
      </c>
    </row>
    <row r="8" spans="1:28" x14ac:dyDescent="0.3">
      <c r="A8" t="s">
        <v>31</v>
      </c>
      <c r="B8" t="s">
        <v>27</v>
      </c>
      <c r="C8" t="s">
        <v>27</v>
      </c>
      <c r="D8" t="s">
        <v>27</v>
      </c>
      <c r="E8" t="s">
        <v>27</v>
      </c>
      <c r="G8">
        <v>600</v>
      </c>
      <c r="H8">
        <v>1</v>
      </c>
      <c r="I8">
        <v>1700</v>
      </c>
      <c r="J8" t="s">
        <v>28</v>
      </c>
      <c r="K8" t="s">
        <v>46</v>
      </c>
      <c r="L8" t="s">
        <v>46</v>
      </c>
      <c r="M8" t="s">
        <v>29</v>
      </c>
      <c r="N8" t="s">
        <v>47</v>
      </c>
      <c r="O8" t="s">
        <v>29</v>
      </c>
      <c r="P8" t="s">
        <v>34</v>
      </c>
      <c r="Q8" t="str">
        <f>VLOOKUP(P:P,[1]Sheet1!$E:$E,1,0)</f>
        <v>PRE-BAG|CAV|CM|R</v>
      </c>
      <c r="R8" t="s">
        <v>35</v>
      </c>
      <c r="S8">
        <v>1</v>
      </c>
      <c r="T8">
        <v>20</v>
      </c>
      <c r="U8">
        <v>0</v>
      </c>
      <c r="W8" s="1">
        <v>45993</v>
      </c>
      <c r="X8" s="1">
        <v>46358</v>
      </c>
      <c r="Z8" t="s">
        <v>30</v>
      </c>
    </row>
    <row r="9" spans="1:28" x14ac:dyDescent="0.3">
      <c r="A9" t="s">
        <v>48</v>
      </c>
      <c r="B9" t="s">
        <v>27</v>
      </c>
      <c r="C9" t="s">
        <v>27</v>
      </c>
      <c r="D9" t="s">
        <v>27</v>
      </c>
      <c r="E9" t="s">
        <v>27</v>
      </c>
      <c r="G9">
        <v>600</v>
      </c>
      <c r="H9">
        <v>1</v>
      </c>
      <c r="I9">
        <v>1700</v>
      </c>
      <c r="J9" t="s">
        <v>28</v>
      </c>
      <c r="K9" t="s">
        <v>52</v>
      </c>
      <c r="L9" t="s">
        <v>52</v>
      </c>
      <c r="M9" t="s">
        <v>49</v>
      </c>
      <c r="N9" t="s">
        <v>50</v>
      </c>
      <c r="O9" t="s">
        <v>49</v>
      </c>
      <c r="P9" t="s">
        <v>53</v>
      </c>
      <c r="Q9" t="str">
        <f>VLOOKUP(P:P,[1]Sheet1!$E:$E,1,0)</f>
        <v>PRE-TSH|PX|NB-3XL|B</v>
      </c>
      <c r="R9" t="s">
        <v>54</v>
      </c>
      <c r="S9">
        <v>1</v>
      </c>
      <c r="T9">
        <v>17</v>
      </c>
      <c r="U9">
        <v>0</v>
      </c>
      <c r="W9" s="1">
        <v>45953</v>
      </c>
      <c r="X9" s="1">
        <v>46282</v>
      </c>
      <c r="Z9" t="s">
        <v>30</v>
      </c>
    </row>
    <row r="10" spans="1:28" x14ac:dyDescent="0.3">
      <c r="A10" t="s">
        <v>48</v>
      </c>
      <c r="B10" t="s">
        <v>27</v>
      </c>
      <c r="C10" t="s">
        <v>27</v>
      </c>
      <c r="D10" t="s">
        <v>27</v>
      </c>
      <c r="E10" t="s">
        <v>27</v>
      </c>
      <c r="G10">
        <v>600</v>
      </c>
      <c r="H10">
        <v>1</v>
      </c>
      <c r="I10">
        <v>1700</v>
      </c>
      <c r="J10" t="s">
        <v>28</v>
      </c>
      <c r="K10" t="s">
        <v>55</v>
      </c>
      <c r="L10" t="s">
        <v>55</v>
      </c>
      <c r="M10" t="s">
        <v>49</v>
      </c>
      <c r="N10" t="s">
        <v>50</v>
      </c>
      <c r="O10" t="s">
        <v>49</v>
      </c>
      <c r="P10" t="s">
        <v>56</v>
      </c>
      <c r="Q10" t="str">
        <f>VLOOKUP(P:P,[1]Sheet1!$E:$E,1,0)</f>
        <v>PRE-TSH|PX|NB-2XL|B</v>
      </c>
      <c r="R10" t="s">
        <v>57</v>
      </c>
      <c r="S10">
        <v>1</v>
      </c>
      <c r="T10">
        <v>23</v>
      </c>
      <c r="U10">
        <v>0</v>
      </c>
      <c r="W10" s="1">
        <v>45974</v>
      </c>
      <c r="X10" s="1">
        <v>46282</v>
      </c>
    </row>
    <row r="11" spans="1:28" x14ac:dyDescent="0.3">
      <c r="A11" t="s">
        <v>48</v>
      </c>
      <c r="B11" t="s">
        <v>27</v>
      </c>
      <c r="C11" t="s">
        <v>27</v>
      </c>
      <c r="D11" t="s">
        <v>27</v>
      </c>
      <c r="E11" t="s">
        <v>27</v>
      </c>
      <c r="G11">
        <v>600</v>
      </c>
      <c r="H11">
        <v>1</v>
      </c>
      <c r="I11">
        <v>1700</v>
      </c>
      <c r="J11" t="s">
        <v>28</v>
      </c>
      <c r="K11" t="s">
        <v>58</v>
      </c>
      <c r="L11" t="s">
        <v>58</v>
      </c>
      <c r="M11" t="s">
        <v>49</v>
      </c>
      <c r="N11" t="s">
        <v>50</v>
      </c>
      <c r="O11" t="s">
        <v>49</v>
      </c>
      <c r="P11" t="s">
        <v>59</v>
      </c>
      <c r="Q11" t="str">
        <f>VLOOKUP(P:P,[1]Sheet1!$E:$E,1,0)</f>
        <v>PRE-TSH|PX|NB-XL|B</v>
      </c>
      <c r="R11" t="s">
        <v>60</v>
      </c>
      <c r="S11">
        <v>1</v>
      </c>
      <c r="T11">
        <v>15</v>
      </c>
      <c r="U11">
        <v>0</v>
      </c>
      <c r="W11" s="1">
        <v>45986</v>
      </c>
      <c r="X11" s="1">
        <v>46282</v>
      </c>
    </row>
    <row r="12" spans="1:28" x14ac:dyDescent="0.3">
      <c r="A12" t="s">
        <v>48</v>
      </c>
      <c r="B12" t="s">
        <v>27</v>
      </c>
      <c r="C12" t="s">
        <v>27</v>
      </c>
      <c r="D12" t="s">
        <v>27</v>
      </c>
      <c r="E12" t="s">
        <v>27</v>
      </c>
      <c r="G12">
        <v>600</v>
      </c>
      <c r="H12">
        <v>1</v>
      </c>
      <c r="I12">
        <v>1700</v>
      </c>
      <c r="J12" t="s">
        <v>28</v>
      </c>
      <c r="K12" t="s">
        <v>61</v>
      </c>
      <c r="L12" t="s">
        <v>61</v>
      </c>
      <c r="M12" t="s">
        <v>49</v>
      </c>
      <c r="N12" t="s">
        <v>50</v>
      </c>
      <c r="O12" t="s">
        <v>49</v>
      </c>
      <c r="P12" t="s">
        <v>62</v>
      </c>
      <c r="Q12" t="str">
        <f>VLOOKUP(P:P,[1]Sheet1!$E:$E,1,0)</f>
        <v>PRE-TSH|PX|NB-L|B</v>
      </c>
      <c r="R12" t="s">
        <v>63</v>
      </c>
      <c r="S12">
        <v>1</v>
      </c>
      <c r="T12">
        <v>21</v>
      </c>
      <c r="U12">
        <v>0</v>
      </c>
      <c r="W12" s="1">
        <v>45974</v>
      </c>
      <c r="X12" s="1">
        <v>46282</v>
      </c>
    </row>
    <row r="13" spans="1:28" x14ac:dyDescent="0.3">
      <c r="A13" t="s">
        <v>48</v>
      </c>
      <c r="B13" t="s">
        <v>27</v>
      </c>
      <c r="C13" t="s">
        <v>27</v>
      </c>
      <c r="D13" t="s">
        <v>27</v>
      </c>
      <c r="E13" t="s">
        <v>27</v>
      </c>
      <c r="G13">
        <v>600</v>
      </c>
      <c r="H13">
        <v>1</v>
      </c>
      <c r="I13">
        <v>1700</v>
      </c>
      <c r="J13" t="s">
        <v>28</v>
      </c>
      <c r="K13" t="s">
        <v>64</v>
      </c>
      <c r="L13" t="s">
        <v>64</v>
      </c>
      <c r="M13" t="s">
        <v>49</v>
      </c>
      <c r="N13" t="s">
        <v>50</v>
      </c>
      <c r="O13" t="s">
        <v>49</v>
      </c>
      <c r="P13" t="s">
        <v>65</v>
      </c>
      <c r="Q13" t="str">
        <f>VLOOKUP(P:P,[1]Sheet1!$E:$E,1,0)</f>
        <v>PRE-TSH|PX|NB-M|B</v>
      </c>
      <c r="R13" t="s">
        <v>66</v>
      </c>
      <c r="S13">
        <v>1</v>
      </c>
      <c r="T13">
        <v>35</v>
      </c>
      <c r="U13">
        <v>0</v>
      </c>
      <c r="W13" s="1">
        <v>45975</v>
      </c>
      <c r="X13" s="1">
        <v>46282</v>
      </c>
    </row>
    <row r="14" spans="1:28" x14ac:dyDescent="0.3">
      <c r="A14" t="s">
        <v>48</v>
      </c>
      <c r="B14" t="s">
        <v>27</v>
      </c>
      <c r="C14" t="s">
        <v>27</v>
      </c>
      <c r="D14" t="s">
        <v>27</v>
      </c>
      <c r="E14" t="s">
        <v>27</v>
      </c>
      <c r="G14">
        <v>600</v>
      </c>
      <c r="H14">
        <v>1</v>
      </c>
      <c r="I14">
        <v>1700</v>
      </c>
      <c r="J14" t="s">
        <v>28</v>
      </c>
      <c r="K14" t="s">
        <v>67</v>
      </c>
      <c r="L14" t="s">
        <v>67</v>
      </c>
      <c r="M14" t="s">
        <v>49</v>
      </c>
      <c r="N14" t="s">
        <v>50</v>
      </c>
      <c r="O14" t="s">
        <v>49</v>
      </c>
      <c r="P14" t="s">
        <v>68</v>
      </c>
      <c r="Q14" t="str">
        <f>VLOOKUP(P:P,[1]Sheet1!$E:$E,1,0)</f>
        <v>PRE-TSH|PX|NB-S|B</v>
      </c>
      <c r="R14" t="s">
        <v>69</v>
      </c>
      <c r="S14">
        <v>1</v>
      </c>
      <c r="T14">
        <v>15</v>
      </c>
      <c r="U14">
        <v>0</v>
      </c>
      <c r="W14" s="1">
        <v>45980</v>
      </c>
      <c r="X14" s="1">
        <v>46282</v>
      </c>
    </row>
    <row r="15" spans="1:28" x14ac:dyDescent="0.3">
      <c r="A15" t="s">
        <v>48</v>
      </c>
      <c r="B15" t="s">
        <v>27</v>
      </c>
      <c r="C15" t="s">
        <v>27</v>
      </c>
      <c r="D15" t="s">
        <v>27</v>
      </c>
      <c r="E15" t="s">
        <v>27</v>
      </c>
      <c r="G15">
        <v>600</v>
      </c>
      <c r="H15">
        <v>1</v>
      </c>
      <c r="I15">
        <v>1700</v>
      </c>
      <c r="J15" t="s">
        <v>28</v>
      </c>
      <c r="K15" t="s">
        <v>70</v>
      </c>
      <c r="L15" t="s">
        <v>70</v>
      </c>
      <c r="M15" t="s">
        <v>49</v>
      </c>
      <c r="N15" t="s">
        <v>50</v>
      </c>
      <c r="O15" t="s">
        <v>49</v>
      </c>
      <c r="P15" t="s">
        <v>71</v>
      </c>
      <c r="Q15" t="str">
        <f>VLOOKUP(P:P,[1]Sheet1!$E:$E,1,0)</f>
        <v>PRE-TSH|PX|NB-3XL</v>
      </c>
      <c r="R15" t="s">
        <v>72</v>
      </c>
      <c r="S15">
        <v>1</v>
      </c>
      <c r="T15">
        <v>19</v>
      </c>
      <c r="U15">
        <v>0</v>
      </c>
      <c r="W15" s="1">
        <v>45964</v>
      </c>
      <c r="X15" s="1">
        <v>46282</v>
      </c>
      <c r="Z15" t="s">
        <v>30</v>
      </c>
    </row>
    <row r="16" spans="1:28" x14ac:dyDescent="0.3">
      <c r="A16" t="s">
        <v>48</v>
      </c>
      <c r="B16" t="s">
        <v>27</v>
      </c>
      <c r="C16" t="s">
        <v>27</v>
      </c>
      <c r="D16" t="s">
        <v>27</v>
      </c>
      <c r="E16" t="s">
        <v>27</v>
      </c>
      <c r="G16">
        <v>600</v>
      </c>
      <c r="H16">
        <v>1</v>
      </c>
      <c r="I16">
        <v>1700</v>
      </c>
      <c r="J16" t="s">
        <v>28</v>
      </c>
      <c r="K16" t="s">
        <v>73</v>
      </c>
      <c r="L16" t="s">
        <v>73</v>
      </c>
      <c r="M16" t="s">
        <v>49</v>
      </c>
      <c r="N16" t="s">
        <v>50</v>
      </c>
      <c r="O16" t="s">
        <v>49</v>
      </c>
      <c r="P16" t="s">
        <v>74</v>
      </c>
      <c r="Q16" t="str">
        <f>VLOOKUP(P:P,[1]Sheet1!$E:$E,1,0)</f>
        <v>PRE-TSH|PX|NB-2XL</v>
      </c>
      <c r="R16" t="s">
        <v>75</v>
      </c>
      <c r="S16">
        <v>0</v>
      </c>
      <c r="T16">
        <v>15</v>
      </c>
      <c r="U16">
        <v>0</v>
      </c>
      <c r="W16" s="1">
        <v>46010</v>
      </c>
      <c r="X16" s="1">
        <v>46282</v>
      </c>
    </row>
    <row r="17" spans="1:27" x14ac:dyDescent="0.3">
      <c r="A17" t="s">
        <v>48</v>
      </c>
      <c r="B17" t="s">
        <v>27</v>
      </c>
      <c r="C17" t="s">
        <v>27</v>
      </c>
      <c r="D17" t="s">
        <v>27</v>
      </c>
      <c r="E17" t="s">
        <v>27</v>
      </c>
      <c r="G17">
        <v>600</v>
      </c>
      <c r="H17">
        <v>1</v>
      </c>
      <c r="I17">
        <v>1700</v>
      </c>
      <c r="J17" t="s">
        <v>28</v>
      </c>
      <c r="K17" t="s">
        <v>76</v>
      </c>
      <c r="L17" t="s">
        <v>76</v>
      </c>
      <c r="M17" t="s">
        <v>49</v>
      </c>
      <c r="N17" t="s">
        <v>50</v>
      </c>
      <c r="O17" t="s">
        <v>49</v>
      </c>
      <c r="P17" t="s">
        <v>77</v>
      </c>
      <c r="Q17" t="str">
        <f>VLOOKUP(P:P,[1]Sheet1!$E:$E,1,0)</f>
        <v>PRE-TSH|PX|NB-XL</v>
      </c>
      <c r="R17" t="s">
        <v>78</v>
      </c>
      <c r="S17">
        <v>0</v>
      </c>
      <c r="T17">
        <v>40</v>
      </c>
      <c r="U17">
        <v>0</v>
      </c>
      <c r="W17" s="1">
        <v>46010</v>
      </c>
      <c r="X17" s="1">
        <v>46282</v>
      </c>
    </row>
    <row r="18" spans="1:27" x14ac:dyDescent="0.3">
      <c r="A18" t="s">
        <v>48</v>
      </c>
      <c r="B18" t="s">
        <v>27</v>
      </c>
      <c r="C18" t="s">
        <v>27</v>
      </c>
      <c r="D18" t="s">
        <v>27</v>
      </c>
      <c r="E18" t="s">
        <v>27</v>
      </c>
      <c r="G18">
        <v>600</v>
      </c>
      <c r="H18">
        <v>1</v>
      </c>
      <c r="I18">
        <v>1700</v>
      </c>
      <c r="J18" t="s">
        <v>28</v>
      </c>
      <c r="K18" t="s">
        <v>79</v>
      </c>
      <c r="L18" t="s">
        <v>79</v>
      </c>
      <c r="M18" t="s">
        <v>49</v>
      </c>
      <c r="N18" t="s">
        <v>50</v>
      </c>
      <c r="O18" t="s">
        <v>49</v>
      </c>
      <c r="P18" t="s">
        <v>80</v>
      </c>
      <c r="Q18" t="str">
        <f>VLOOKUP(P:P,[1]Sheet1!$E:$E,1,0)</f>
        <v>PRE-TSH|PX|NB-L</v>
      </c>
      <c r="R18" t="s">
        <v>81</v>
      </c>
      <c r="S18">
        <v>0</v>
      </c>
      <c r="T18">
        <v>9</v>
      </c>
      <c r="U18">
        <v>0</v>
      </c>
      <c r="W18" s="1">
        <v>45995</v>
      </c>
      <c r="X18" s="1">
        <v>46282</v>
      </c>
    </row>
    <row r="19" spans="1:27" x14ac:dyDescent="0.3">
      <c r="A19" t="s">
        <v>48</v>
      </c>
      <c r="B19" t="s">
        <v>27</v>
      </c>
      <c r="C19" t="s">
        <v>27</v>
      </c>
      <c r="D19" t="s">
        <v>27</v>
      </c>
      <c r="E19" t="s">
        <v>27</v>
      </c>
      <c r="G19">
        <v>600</v>
      </c>
      <c r="H19">
        <v>1</v>
      </c>
      <c r="I19">
        <v>1700</v>
      </c>
      <c r="J19" t="s">
        <v>28</v>
      </c>
      <c r="K19" t="s">
        <v>82</v>
      </c>
      <c r="L19" t="s">
        <v>82</v>
      </c>
      <c r="M19" t="s">
        <v>49</v>
      </c>
      <c r="N19" t="s">
        <v>50</v>
      </c>
      <c r="O19" t="s">
        <v>49</v>
      </c>
      <c r="P19" t="s">
        <v>83</v>
      </c>
      <c r="Q19" t="str">
        <f>VLOOKUP(P:P,[1]Sheet1!$E:$E,1,0)</f>
        <v>PRE-TSH|PX|NB-M</v>
      </c>
      <c r="R19" t="s">
        <v>84</v>
      </c>
      <c r="S19">
        <v>0</v>
      </c>
      <c r="T19">
        <v>6</v>
      </c>
      <c r="U19">
        <v>0</v>
      </c>
      <c r="W19" s="1">
        <v>46010</v>
      </c>
      <c r="X19" s="1">
        <v>46282</v>
      </c>
    </row>
    <row r="20" spans="1:27" x14ac:dyDescent="0.3">
      <c r="A20" t="s">
        <v>48</v>
      </c>
      <c r="B20" t="s">
        <v>27</v>
      </c>
      <c r="C20" t="s">
        <v>27</v>
      </c>
      <c r="D20" t="s">
        <v>27</v>
      </c>
      <c r="E20" t="s">
        <v>27</v>
      </c>
      <c r="G20">
        <v>600</v>
      </c>
      <c r="H20">
        <v>1</v>
      </c>
      <c r="I20">
        <v>1700</v>
      </c>
      <c r="J20" t="s">
        <v>28</v>
      </c>
      <c r="K20" t="s">
        <v>85</v>
      </c>
      <c r="L20" t="s">
        <v>85</v>
      </c>
      <c r="M20" t="s">
        <v>49</v>
      </c>
      <c r="N20" t="s">
        <v>50</v>
      </c>
      <c r="O20" t="s">
        <v>49</v>
      </c>
      <c r="P20" t="s">
        <v>86</v>
      </c>
      <c r="Q20" t="str">
        <f>VLOOKUP(P:P,[1]Sheet1!$E:$E,1,0)</f>
        <v>PRE-TSH|PX|NB-S</v>
      </c>
      <c r="R20" t="s">
        <v>87</v>
      </c>
      <c r="S20">
        <v>1</v>
      </c>
      <c r="T20">
        <v>16</v>
      </c>
      <c r="U20">
        <v>0</v>
      </c>
      <c r="W20" s="1">
        <v>45980</v>
      </c>
      <c r="X20" s="1">
        <v>46282</v>
      </c>
    </row>
    <row r="21" spans="1:27" x14ac:dyDescent="0.3">
      <c r="A21" t="s">
        <v>88</v>
      </c>
      <c r="B21" t="s">
        <v>27</v>
      </c>
      <c r="C21" t="s">
        <v>27</v>
      </c>
      <c r="D21" t="s">
        <v>27</v>
      </c>
      <c r="E21" t="s">
        <v>27</v>
      </c>
      <c r="G21">
        <v>600</v>
      </c>
      <c r="H21">
        <v>1</v>
      </c>
      <c r="I21">
        <v>1700</v>
      </c>
      <c r="J21" t="s">
        <v>28</v>
      </c>
      <c r="K21" t="s">
        <v>89</v>
      </c>
      <c r="L21" t="s">
        <v>89</v>
      </c>
      <c r="M21" t="s">
        <v>29</v>
      </c>
      <c r="N21" t="s">
        <v>90</v>
      </c>
      <c r="O21" t="s">
        <v>29</v>
      </c>
      <c r="P21" t="s">
        <v>91</v>
      </c>
      <c r="Q21" t="str">
        <f>VLOOKUP(P:P,[1]Sheet1!$E:$E,1,0)</f>
        <v>MKT-VIN|ALL</v>
      </c>
      <c r="R21" t="s">
        <v>92</v>
      </c>
      <c r="S21">
        <v>1</v>
      </c>
      <c r="T21">
        <v>10</v>
      </c>
      <c r="U21">
        <v>0</v>
      </c>
      <c r="W21" s="1">
        <v>45994</v>
      </c>
      <c r="X21" s="1">
        <v>46359</v>
      </c>
      <c r="Z21" t="s">
        <v>30</v>
      </c>
      <c r="AA21" t="s">
        <v>51</v>
      </c>
    </row>
    <row r="22" spans="1:27" x14ac:dyDescent="0.3">
      <c r="A22" t="s">
        <v>88</v>
      </c>
      <c r="B22" t="s">
        <v>27</v>
      </c>
      <c r="C22" t="s">
        <v>27</v>
      </c>
      <c r="D22" t="s">
        <v>27</v>
      </c>
      <c r="E22" t="s">
        <v>27</v>
      </c>
      <c r="G22">
        <v>600</v>
      </c>
      <c r="H22">
        <v>1</v>
      </c>
      <c r="I22">
        <v>1700</v>
      </c>
      <c r="J22" t="s">
        <v>28</v>
      </c>
      <c r="K22" t="s">
        <v>93</v>
      </c>
      <c r="L22" t="s">
        <v>93</v>
      </c>
      <c r="M22" t="s">
        <v>29</v>
      </c>
      <c r="N22" t="s">
        <v>94</v>
      </c>
      <c r="O22" t="s">
        <v>29</v>
      </c>
      <c r="P22" t="s">
        <v>91</v>
      </c>
      <c r="Q22" t="str">
        <f>VLOOKUP(P:P,[1]Sheet1!$E:$E,1,0)</f>
        <v>MKT-VIN|ALL</v>
      </c>
      <c r="R22" t="s">
        <v>92</v>
      </c>
      <c r="S22">
        <v>1</v>
      </c>
      <c r="T22">
        <v>10</v>
      </c>
      <c r="U22">
        <v>0</v>
      </c>
      <c r="W22" s="1">
        <v>45994</v>
      </c>
      <c r="X22" s="1">
        <v>46359</v>
      </c>
      <c r="Z22" t="s">
        <v>30</v>
      </c>
      <c r="AA22" t="s">
        <v>51</v>
      </c>
    </row>
    <row r="23" spans="1:27" x14ac:dyDescent="0.3">
      <c r="A23" t="s">
        <v>88</v>
      </c>
      <c r="B23" t="s">
        <v>27</v>
      </c>
      <c r="C23" t="s">
        <v>27</v>
      </c>
      <c r="D23" t="s">
        <v>27</v>
      </c>
      <c r="E23" t="s">
        <v>27</v>
      </c>
      <c r="G23">
        <v>600</v>
      </c>
      <c r="H23">
        <v>1</v>
      </c>
      <c r="I23">
        <v>1700</v>
      </c>
      <c r="J23" t="s">
        <v>28</v>
      </c>
      <c r="K23" t="s">
        <v>95</v>
      </c>
      <c r="L23" t="s">
        <v>95</v>
      </c>
      <c r="M23" t="s">
        <v>29</v>
      </c>
      <c r="N23" t="s">
        <v>96</v>
      </c>
      <c r="O23" t="s">
        <v>29</v>
      </c>
      <c r="P23" t="s">
        <v>91</v>
      </c>
      <c r="Q23" t="str">
        <f>VLOOKUP(P:P,[1]Sheet1!$E:$E,1,0)</f>
        <v>MKT-VIN|ALL</v>
      </c>
      <c r="R23" t="s">
        <v>92</v>
      </c>
      <c r="S23">
        <v>1</v>
      </c>
      <c r="T23">
        <v>10</v>
      </c>
      <c r="U23">
        <v>0</v>
      </c>
      <c r="W23" s="1">
        <v>45994</v>
      </c>
      <c r="X23" s="1">
        <v>46359</v>
      </c>
      <c r="Z23" t="s">
        <v>30</v>
      </c>
      <c r="AA23" t="s">
        <v>51</v>
      </c>
    </row>
    <row r="24" spans="1:27" x14ac:dyDescent="0.3">
      <c r="A24" t="s">
        <v>88</v>
      </c>
      <c r="B24" t="s">
        <v>27</v>
      </c>
      <c r="C24" t="s">
        <v>27</v>
      </c>
      <c r="D24" t="s">
        <v>27</v>
      </c>
      <c r="E24" t="s">
        <v>27</v>
      </c>
      <c r="G24">
        <v>600</v>
      </c>
      <c r="H24">
        <v>1</v>
      </c>
      <c r="I24">
        <v>1700</v>
      </c>
      <c r="J24" t="s">
        <v>28</v>
      </c>
      <c r="K24" t="s">
        <v>97</v>
      </c>
      <c r="L24" t="s">
        <v>97</v>
      </c>
      <c r="M24" t="s">
        <v>29</v>
      </c>
      <c r="N24" t="s">
        <v>98</v>
      </c>
      <c r="O24" t="s">
        <v>29</v>
      </c>
      <c r="P24" t="s">
        <v>91</v>
      </c>
      <c r="Q24" t="str">
        <f>VLOOKUP(P:P,[1]Sheet1!$E:$E,1,0)</f>
        <v>MKT-VIN|ALL</v>
      </c>
      <c r="R24" t="s">
        <v>92</v>
      </c>
      <c r="S24">
        <v>1</v>
      </c>
      <c r="T24">
        <v>10</v>
      </c>
      <c r="U24">
        <v>0</v>
      </c>
      <c r="W24" s="1">
        <v>45994</v>
      </c>
      <c r="X24" s="1">
        <v>46359</v>
      </c>
      <c r="Z24" t="s">
        <v>30</v>
      </c>
      <c r="AA24" t="s">
        <v>51</v>
      </c>
    </row>
    <row r="25" spans="1:27" x14ac:dyDescent="0.3">
      <c r="A25" t="s">
        <v>88</v>
      </c>
      <c r="B25" t="s">
        <v>27</v>
      </c>
      <c r="C25" t="s">
        <v>27</v>
      </c>
      <c r="D25" t="s">
        <v>27</v>
      </c>
      <c r="E25" t="s">
        <v>27</v>
      </c>
      <c r="G25">
        <v>600</v>
      </c>
      <c r="H25">
        <v>1</v>
      </c>
      <c r="I25">
        <v>1700</v>
      </c>
      <c r="J25" t="s">
        <v>28</v>
      </c>
      <c r="K25" t="s">
        <v>99</v>
      </c>
      <c r="L25" t="s">
        <v>99</v>
      </c>
      <c r="M25" t="s">
        <v>29</v>
      </c>
      <c r="N25" t="s">
        <v>100</v>
      </c>
      <c r="O25" t="s">
        <v>29</v>
      </c>
      <c r="P25" t="s">
        <v>91</v>
      </c>
      <c r="Q25" t="str">
        <f>VLOOKUP(P:P,[1]Sheet1!$E:$E,1,0)</f>
        <v>MKT-VIN|ALL</v>
      </c>
      <c r="R25" t="s">
        <v>92</v>
      </c>
      <c r="S25">
        <v>1</v>
      </c>
      <c r="T25">
        <v>10</v>
      </c>
      <c r="U25">
        <v>0</v>
      </c>
      <c r="W25" s="1">
        <v>45994</v>
      </c>
      <c r="X25" s="1">
        <v>46359</v>
      </c>
      <c r="Z25" t="s">
        <v>30</v>
      </c>
      <c r="AA25" t="s">
        <v>51</v>
      </c>
    </row>
    <row r="26" spans="1:27" x14ac:dyDescent="0.3">
      <c r="A26" t="s">
        <v>88</v>
      </c>
      <c r="B26" t="s">
        <v>27</v>
      </c>
      <c r="C26" t="s">
        <v>27</v>
      </c>
      <c r="D26" t="s">
        <v>27</v>
      </c>
      <c r="E26" t="s">
        <v>27</v>
      </c>
      <c r="G26">
        <v>600</v>
      </c>
      <c r="H26">
        <v>1</v>
      </c>
      <c r="I26">
        <v>1700</v>
      </c>
      <c r="J26" t="s">
        <v>28</v>
      </c>
      <c r="K26" t="s">
        <v>101</v>
      </c>
      <c r="L26" t="s">
        <v>101</v>
      </c>
      <c r="M26" t="s">
        <v>29</v>
      </c>
      <c r="N26" t="s">
        <v>102</v>
      </c>
      <c r="O26" t="s">
        <v>29</v>
      </c>
      <c r="P26" t="s">
        <v>91</v>
      </c>
      <c r="Q26" t="str">
        <f>VLOOKUP(P:P,[1]Sheet1!$E:$E,1,0)</f>
        <v>MKT-VIN|ALL</v>
      </c>
      <c r="R26" t="s">
        <v>92</v>
      </c>
      <c r="S26">
        <v>1</v>
      </c>
      <c r="T26">
        <v>10</v>
      </c>
      <c r="U26">
        <v>0</v>
      </c>
      <c r="W26" s="1">
        <v>45994</v>
      </c>
      <c r="X26" s="1">
        <v>46359</v>
      </c>
      <c r="Z26" t="s">
        <v>30</v>
      </c>
      <c r="AA26" t="s">
        <v>51</v>
      </c>
    </row>
    <row r="27" spans="1:27" x14ac:dyDescent="0.3">
      <c r="A27" t="s">
        <v>88</v>
      </c>
      <c r="B27" t="s">
        <v>27</v>
      </c>
      <c r="C27" t="s">
        <v>27</v>
      </c>
      <c r="D27" t="s">
        <v>27</v>
      </c>
      <c r="E27" t="s">
        <v>27</v>
      </c>
      <c r="G27">
        <v>600</v>
      </c>
      <c r="H27">
        <v>1</v>
      </c>
      <c r="I27">
        <v>1700</v>
      </c>
      <c r="J27" t="s">
        <v>28</v>
      </c>
      <c r="K27" t="s">
        <v>103</v>
      </c>
      <c r="L27" t="s">
        <v>103</v>
      </c>
      <c r="M27" t="s">
        <v>29</v>
      </c>
      <c r="N27" t="s">
        <v>104</v>
      </c>
      <c r="O27" t="s">
        <v>29</v>
      </c>
      <c r="P27" t="s">
        <v>91</v>
      </c>
      <c r="Q27" t="str">
        <f>VLOOKUP(P:P,[1]Sheet1!$E:$E,1,0)</f>
        <v>MKT-VIN|ALL</v>
      </c>
      <c r="R27" t="s">
        <v>92</v>
      </c>
      <c r="S27">
        <v>1</v>
      </c>
      <c r="T27">
        <v>10</v>
      </c>
      <c r="U27">
        <v>0</v>
      </c>
      <c r="W27" s="1">
        <v>45994</v>
      </c>
      <c r="X27" s="1">
        <v>46359</v>
      </c>
      <c r="Z27" t="s">
        <v>30</v>
      </c>
      <c r="AA27" t="s">
        <v>51</v>
      </c>
    </row>
    <row r="28" spans="1:27" x14ac:dyDescent="0.3">
      <c r="A28" t="s">
        <v>88</v>
      </c>
      <c r="B28" t="s">
        <v>27</v>
      </c>
      <c r="C28" t="s">
        <v>27</v>
      </c>
      <c r="D28" t="s">
        <v>27</v>
      </c>
      <c r="E28" t="s">
        <v>27</v>
      </c>
      <c r="G28">
        <v>600</v>
      </c>
      <c r="H28">
        <v>1</v>
      </c>
      <c r="I28">
        <v>1700</v>
      </c>
      <c r="J28" t="s">
        <v>28</v>
      </c>
      <c r="K28" t="s">
        <v>105</v>
      </c>
      <c r="L28" t="s">
        <v>105</v>
      </c>
      <c r="M28" t="s">
        <v>29</v>
      </c>
      <c r="N28" t="s">
        <v>106</v>
      </c>
      <c r="O28" t="s">
        <v>29</v>
      </c>
      <c r="P28" t="s">
        <v>91</v>
      </c>
      <c r="Q28" t="str">
        <f>VLOOKUP(P:P,[1]Sheet1!$E:$E,1,0)</f>
        <v>MKT-VIN|ALL</v>
      </c>
      <c r="R28" t="s">
        <v>92</v>
      </c>
      <c r="S28">
        <v>1</v>
      </c>
      <c r="T28">
        <v>10</v>
      </c>
      <c r="U28">
        <v>0</v>
      </c>
      <c r="W28" s="1">
        <v>45994</v>
      </c>
      <c r="X28" s="1">
        <v>46359</v>
      </c>
      <c r="Z28" t="s">
        <v>30</v>
      </c>
      <c r="AA28" t="s">
        <v>51</v>
      </c>
    </row>
    <row r="29" spans="1:27" x14ac:dyDescent="0.3">
      <c r="A29" t="s">
        <v>88</v>
      </c>
      <c r="B29" t="s">
        <v>27</v>
      </c>
      <c r="C29" t="s">
        <v>27</v>
      </c>
      <c r="D29" t="s">
        <v>27</v>
      </c>
      <c r="E29" t="s">
        <v>27</v>
      </c>
      <c r="G29">
        <v>600</v>
      </c>
      <c r="H29">
        <v>1</v>
      </c>
      <c r="I29">
        <v>1700</v>
      </c>
      <c r="J29" t="s">
        <v>28</v>
      </c>
      <c r="K29" t="s">
        <v>107</v>
      </c>
      <c r="L29" t="s">
        <v>107</v>
      </c>
      <c r="M29" t="s">
        <v>29</v>
      </c>
      <c r="N29" t="s">
        <v>108</v>
      </c>
      <c r="O29" t="s">
        <v>29</v>
      </c>
      <c r="P29" t="s">
        <v>91</v>
      </c>
      <c r="Q29" t="str">
        <f>VLOOKUP(P:P,[1]Sheet1!$E:$E,1,0)</f>
        <v>MKT-VIN|ALL</v>
      </c>
      <c r="R29" t="s">
        <v>92</v>
      </c>
      <c r="S29">
        <v>1</v>
      </c>
      <c r="T29">
        <v>10</v>
      </c>
      <c r="U29">
        <v>0</v>
      </c>
      <c r="W29" s="1">
        <v>45994</v>
      </c>
      <c r="X29" s="1">
        <v>46359</v>
      </c>
      <c r="Z29" t="s">
        <v>30</v>
      </c>
      <c r="AA29" t="s">
        <v>51</v>
      </c>
    </row>
    <row r="30" spans="1:27" x14ac:dyDescent="0.3">
      <c r="A30" t="s">
        <v>88</v>
      </c>
      <c r="B30" t="s">
        <v>27</v>
      </c>
      <c r="C30" t="s">
        <v>27</v>
      </c>
      <c r="D30" t="s">
        <v>27</v>
      </c>
      <c r="E30" t="s">
        <v>27</v>
      </c>
      <c r="G30">
        <v>600</v>
      </c>
      <c r="H30">
        <v>1</v>
      </c>
      <c r="I30">
        <v>1700</v>
      </c>
      <c r="J30" t="s">
        <v>28</v>
      </c>
      <c r="K30" t="s">
        <v>109</v>
      </c>
      <c r="L30" t="s">
        <v>109</v>
      </c>
      <c r="M30" t="s">
        <v>29</v>
      </c>
      <c r="N30" t="s">
        <v>110</v>
      </c>
      <c r="O30" t="s">
        <v>29</v>
      </c>
      <c r="P30" t="s">
        <v>91</v>
      </c>
      <c r="Q30" t="str">
        <f>VLOOKUP(P:P,[1]Sheet1!$E:$E,1,0)</f>
        <v>MKT-VIN|ALL</v>
      </c>
      <c r="R30" t="s">
        <v>92</v>
      </c>
      <c r="S30">
        <v>1</v>
      </c>
      <c r="T30">
        <v>10</v>
      </c>
      <c r="U30">
        <v>0</v>
      </c>
      <c r="W30" s="1">
        <v>45994</v>
      </c>
      <c r="X30" s="1">
        <v>46359</v>
      </c>
      <c r="Z30" t="s">
        <v>30</v>
      </c>
      <c r="AA30" t="s">
        <v>51</v>
      </c>
    </row>
    <row r="31" spans="1:27" x14ac:dyDescent="0.3">
      <c r="A31" t="s">
        <v>88</v>
      </c>
      <c r="B31" t="s">
        <v>27</v>
      </c>
      <c r="C31" t="s">
        <v>27</v>
      </c>
      <c r="D31" t="s">
        <v>27</v>
      </c>
      <c r="E31" t="s">
        <v>27</v>
      </c>
      <c r="G31">
        <v>600</v>
      </c>
      <c r="H31">
        <v>1</v>
      </c>
      <c r="I31">
        <v>1700</v>
      </c>
      <c r="J31" t="s">
        <v>28</v>
      </c>
      <c r="K31" t="s">
        <v>111</v>
      </c>
      <c r="L31" t="s">
        <v>111</v>
      </c>
      <c r="M31" t="s">
        <v>29</v>
      </c>
      <c r="N31" t="s">
        <v>112</v>
      </c>
      <c r="O31" t="s">
        <v>29</v>
      </c>
      <c r="P31" t="s">
        <v>91</v>
      </c>
      <c r="Q31" t="str">
        <f>VLOOKUP(P:P,[1]Sheet1!$E:$E,1,0)</f>
        <v>MKT-VIN|ALL</v>
      </c>
      <c r="R31" t="s">
        <v>92</v>
      </c>
      <c r="S31">
        <v>1</v>
      </c>
      <c r="T31">
        <v>10</v>
      </c>
      <c r="U31">
        <v>0</v>
      </c>
      <c r="W31" s="1">
        <v>45994</v>
      </c>
      <c r="X31" s="1">
        <v>46359</v>
      </c>
      <c r="Z31" t="s">
        <v>30</v>
      </c>
      <c r="AA31" t="s">
        <v>51</v>
      </c>
    </row>
    <row r="32" spans="1:27" x14ac:dyDescent="0.3">
      <c r="A32" t="s">
        <v>88</v>
      </c>
      <c r="B32" t="s">
        <v>27</v>
      </c>
      <c r="C32" t="s">
        <v>27</v>
      </c>
      <c r="D32" t="s">
        <v>27</v>
      </c>
      <c r="E32" t="s">
        <v>27</v>
      </c>
      <c r="G32">
        <v>600</v>
      </c>
      <c r="H32">
        <v>1</v>
      </c>
      <c r="I32">
        <v>1700</v>
      </c>
      <c r="J32" t="s">
        <v>28</v>
      </c>
      <c r="K32" t="s">
        <v>113</v>
      </c>
      <c r="L32" t="s">
        <v>113</v>
      </c>
      <c r="M32" t="s">
        <v>29</v>
      </c>
      <c r="N32" t="s">
        <v>114</v>
      </c>
      <c r="O32" t="s">
        <v>29</v>
      </c>
      <c r="P32" t="s">
        <v>91</v>
      </c>
      <c r="Q32" t="str">
        <f>VLOOKUP(P:P,[1]Sheet1!$E:$E,1,0)</f>
        <v>MKT-VIN|ALL</v>
      </c>
      <c r="R32" t="s">
        <v>92</v>
      </c>
      <c r="S32">
        <v>1</v>
      </c>
      <c r="T32">
        <v>10</v>
      </c>
      <c r="U32">
        <v>0</v>
      </c>
      <c r="W32" s="1">
        <v>45994</v>
      </c>
      <c r="X32" s="1">
        <v>46359</v>
      </c>
      <c r="Z32" t="s">
        <v>30</v>
      </c>
      <c r="AA32" t="s">
        <v>51</v>
      </c>
    </row>
    <row r="33" spans="1:27" x14ac:dyDescent="0.3">
      <c r="A33" t="s">
        <v>88</v>
      </c>
      <c r="B33" t="s">
        <v>27</v>
      </c>
      <c r="C33" t="s">
        <v>27</v>
      </c>
      <c r="D33" t="s">
        <v>27</v>
      </c>
      <c r="E33" t="s">
        <v>27</v>
      </c>
      <c r="G33">
        <v>600</v>
      </c>
      <c r="H33">
        <v>1</v>
      </c>
      <c r="I33">
        <v>1700</v>
      </c>
      <c r="J33" t="s">
        <v>28</v>
      </c>
      <c r="K33" t="s">
        <v>115</v>
      </c>
      <c r="L33" t="s">
        <v>115</v>
      </c>
      <c r="M33" t="s">
        <v>29</v>
      </c>
      <c r="N33" t="s">
        <v>116</v>
      </c>
      <c r="O33" t="s">
        <v>29</v>
      </c>
      <c r="P33" t="s">
        <v>91</v>
      </c>
      <c r="Q33" t="str">
        <f>VLOOKUP(P:P,[1]Sheet1!$E:$E,1,0)</f>
        <v>MKT-VIN|ALL</v>
      </c>
      <c r="R33" t="s">
        <v>92</v>
      </c>
      <c r="S33">
        <v>1</v>
      </c>
      <c r="T33">
        <v>10</v>
      </c>
      <c r="U33">
        <v>0</v>
      </c>
      <c r="W33" s="1">
        <v>45994</v>
      </c>
      <c r="X33" s="1">
        <v>46359</v>
      </c>
      <c r="Z33" t="s">
        <v>30</v>
      </c>
      <c r="AA33" t="s">
        <v>51</v>
      </c>
    </row>
    <row r="34" spans="1:27" x14ac:dyDescent="0.3">
      <c r="A34" t="s">
        <v>88</v>
      </c>
      <c r="B34" t="s">
        <v>27</v>
      </c>
      <c r="C34" t="s">
        <v>27</v>
      </c>
      <c r="D34" t="s">
        <v>27</v>
      </c>
      <c r="E34" t="s">
        <v>27</v>
      </c>
      <c r="G34">
        <v>600</v>
      </c>
      <c r="H34">
        <v>1</v>
      </c>
      <c r="I34">
        <v>1700</v>
      </c>
      <c r="J34" t="s">
        <v>28</v>
      </c>
      <c r="K34" t="s">
        <v>117</v>
      </c>
      <c r="L34" t="s">
        <v>117</v>
      </c>
      <c r="M34" t="s">
        <v>29</v>
      </c>
      <c r="N34" t="s">
        <v>118</v>
      </c>
      <c r="O34" t="s">
        <v>29</v>
      </c>
      <c r="P34" t="s">
        <v>91</v>
      </c>
      <c r="Q34" t="str">
        <f>VLOOKUP(P:P,[1]Sheet1!$E:$E,1,0)</f>
        <v>MKT-VIN|ALL</v>
      </c>
      <c r="R34" t="s">
        <v>92</v>
      </c>
      <c r="S34">
        <v>1</v>
      </c>
      <c r="T34">
        <v>10</v>
      </c>
      <c r="U34">
        <v>0</v>
      </c>
      <c r="W34" s="1">
        <v>45994</v>
      </c>
      <c r="X34" s="1">
        <v>46359</v>
      </c>
      <c r="Z34" t="s">
        <v>30</v>
      </c>
      <c r="AA34" t="s">
        <v>51</v>
      </c>
    </row>
    <row r="35" spans="1:27" x14ac:dyDescent="0.3">
      <c r="A35" t="s">
        <v>88</v>
      </c>
      <c r="B35" t="s">
        <v>27</v>
      </c>
      <c r="C35" t="s">
        <v>27</v>
      </c>
      <c r="D35" t="s">
        <v>27</v>
      </c>
      <c r="E35" t="s">
        <v>27</v>
      </c>
      <c r="G35">
        <v>600</v>
      </c>
      <c r="H35">
        <v>1</v>
      </c>
      <c r="I35">
        <v>1700</v>
      </c>
      <c r="J35" t="s">
        <v>28</v>
      </c>
      <c r="K35" t="s">
        <v>119</v>
      </c>
      <c r="L35" t="s">
        <v>119</v>
      </c>
      <c r="M35" t="s">
        <v>29</v>
      </c>
      <c r="N35" t="s">
        <v>120</v>
      </c>
      <c r="O35" t="s">
        <v>29</v>
      </c>
      <c r="P35" t="s">
        <v>91</v>
      </c>
      <c r="Q35" t="str">
        <f>VLOOKUP(P:P,[1]Sheet1!$E:$E,1,0)</f>
        <v>MKT-VIN|ALL</v>
      </c>
      <c r="R35" t="s">
        <v>92</v>
      </c>
      <c r="S35">
        <v>1</v>
      </c>
      <c r="T35">
        <v>4</v>
      </c>
      <c r="U35">
        <v>0</v>
      </c>
      <c r="W35" s="1">
        <v>45994</v>
      </c>
      <c r="X35" s="1">
        <v>46359</v>
      </c>
      <c r="Z35" t="s">
        <v>30</v>
      </c>
      <c r="AA35" t="s">
        <v>51</v>
      </c>
    </row>
    <row r="36" spans="1:27" x14ac:dyDescent="0.3">
      <c r="A36" t="s">
        <v>88</v>
      </c>
      <c r="B36" t="s">
        <v>27</v>
      </c>
      <c r="C36" t="s">
        <v>27</v>
      </c>
      <c r="D36" t="s">
        <v>27</v>
      </c>
      <c r="E36" t="s">
        <v>27</v>
      </c>
      <c r="G36">
        <v>600</v>
      </c>
      <c r="H36">
        <v>1</v>
      </c>
      <c r="I36">
        <v>1700</v>
      </c>
      <c r="J36" t="s">
        <v>28</v>
      </c>
      <c r="K36" t="s">
        <v>121</v>
      </c>
      <c r="L36" t="s">
        <v>121</v>
      </c>
      <c r="M36" t="s">
        <v>29</v>
      </c>
      <c r="N36" t="s">
        <v>122</v>
      </c>
      <c r="O36" t="s">
        <v>29</v>
      </c>
      <c r="P36" t="s">
        <v>91</v>
      </c>
      <c r="Q36" t="str">
        <f>VLOOKUP(P:P,[1]Sheet1!$E:$E,1,0)</f>
        <v>MKT-VIN|ALL</v>
      </c>
      <c r="R36" t="s">
        <v>92</v>
      </c>
      <c r="S36">
        <v>1</v>
      </c>
      <c r="T36">
        <v>10</v>
      </c>
      <c r="U36">
        <v>0</v>
      </c>
      <c r="W36" s="1">
        <v>45994</v>
      </c>
      <c r="X36" s="1">
        <v>46359</v>
      </c>
      <c r="Z36" t="s">
        <v>30</v>
      </c>
      <c r="AA36" t="s">
        <v>51</v>
      </c>
    </row>
    <row r="37" spans="1:27" x14ac:dyDescent="0.3">
      <c r="A37" t="s">
        <v>88</v>
      </c>
      <c r="B37" t="s">
        <v>27</v>
      </c>
      <c r="C37" t="s">
        <v>27</v>
      </c>
      <c r="D37" t="s">
        <v>27</v>
      </c>
      <c r="E37" t="s">
        <v>27</v>
      </c>
      <c r="G37">
        <v>600</v>
      </c>
      <c r="H37">
        <v>1</v>
      </c>
      <c r="I37">
        <v>1700</v>
      </c>
      <c r="J37" t="s">
        <v>28</v>
      </c>
      <c r="K37" t="s">
        <v>123</v>
      </c>
      <c r="L37" t="s">
        <v>123</v>
      </c>
      <c r="M37" t="s">
        <v>29</v>
      </c>
      <c r="N37" t="s">
        <v>124</v>
      </c>
      <c r="O37" t="s">
        <v>29</v>
      </c>
      <c r="P37" t="s">
        <v>91</v>
      </c>
      <c r="Q37" t="str">
        <f>VLOOKUP(P:P,[1]Sheet1!$E:$E,1,0)</f>
        <v>MKT-VIN|ALL</v>
      </c>
      <c r="R37" t="s">
        <v>92</v>
      </c>
      <c r="S37">
        <v>1</v>
      </c>
      <c r="T37">
        <v>10</v>
      </c>
      <c r="U37">
        <v>0</v>
      </c>
      <c r="W37" s="1">
        <v>45994</v>
      </c>
      <c r="X37" s="1">
        <v>46359</v>
      </c>
      <c r="Z37" t="s">
        <v>30</v>
      </c>
      <c r="AA37" t="s">
        <v>51</v>
      </c>
    </row>
    <row r="38" spans="1:27" x14ac:dyDescent="0.3">
      <c r="A38" t="s">
        <v>88</v>
      </c>
      <c r="B38" t="s">
        <v>27</v>
      </c>
      <c r="C38" t="s">
        <v>27</v>
      </c>
      <c r="D38" t="s">
        <v>27</v>
      </c>
      <c r="E38" t="s">
        <v>27</v>
      </c>
      <c r="G38">
        <v>600</v>
      </c>
      <c r="H38">
        <v>1</v>
      </c>
      <c r="I38">
        <v>1700</v>
      </c>
      <c r="J38" t="s">
        <v>28</v>
      </c>
      <c r="K38" t="s">
        <v>125</v>
      </c>
      <c r="L38" t="s">
        <v>125</v>
      </c>
      <c r="M38" t="s">
        <v>29</v>
      </c>
      <c r="N38" t="s">
        <v>126</v>
      </c>
      <c r="O38" t="s">
        <v>29</v>
      </c>
      <c r="P38" t="s">
        <v>91</v>
      </c>
      <c r="Q38" t="str">
        <f>VLOOKUP(P:P,[1]Sheet1!$E:$E,1,0)</f>
        <v>MKT-VIN|ALL</v>
      </c>
      <c r="R38" t="s">
        <v>92</v>
      </c>
      <c r="S38">
        <v>1</v>
      </c>
      <c r="T38">
        <v>10</v>
      </c>
      <c r="U38">
        <v>0</v>
      </c>
      <c r="W38" s="1">
        <v>45994</v>
      </c>
      <c r="X38" s="1">
        <v>46359</v>
      </c>
      <c r="Z38" t="s">
        <v>30</v>
      </c>
      <c r="AA38" t="s">
        <v>51</v>
      </c>
    </row>
  </sheetData>
  <autoFilter ref="A1:AC38" xr:uid="{590D64B6-862C-47A6-86E4-10D223CF5C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ยกสต็อกบ้านเก็บ MCF 5.1.2026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Austamgoods Companylimited</dc:creator>
  <cp:lastModifiedBy>Austamgoods Companylimited</cp:lastModifiedBy>
  <dcterms:created xsi:type="dcterms:W3CDTF">2026-01-23T06:14:23Z</dcterms:created>
  <dcterms:modified xsi:type="dcterms:W3CDTF">2026-01-23T06:15:34Z</dcterms:modified>
</cp:coreProperties>
</file>